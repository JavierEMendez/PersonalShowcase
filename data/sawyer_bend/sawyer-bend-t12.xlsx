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Sawyer Bend Apartments</t>
        </is>
      </c>
    </row>
    <row r="2">
      <c r="A2" t="inlineStr">
        <is>
          <t>Trailing Twelve Month Operating Statement, Sep 2025 to Aug 2026</t>
        </is>
      </c>
    </row>
    <row r="3">
      <c r="A3" t="inlineStr">
        <is>
          <t>288 units. Actuals per the seller's general ledger; unaudited.</t>
        </is>
      </c>
    </row>
    <row r="5">
      <c r="A5" s="2" t="inlineStr">
        <is>
          <t>Line</t>
        </is>
      </c>
      <c r="B5" s="3" t="inlineStr">
        <is>
          <t>Sep-25</t>
        </is>
      </c>
      <c r="C5" s="3" t="inlineStr">
        <is>
          <t>Oct-25</t>
        </is>
      </c>
      <c r="D5" s="3" t="inlineStr">
        <is>
          <t>Nov-25</t>
        </is>
      </c>
      <c r="E5" s="3" t="inlineStr">
        <is>
          <t>Dec-25</t>
        </is>
      </c>
      <c r="F5" s="3" t="inlineStr">
        <is>
          <t>Jan-26</t>
        </is>
      </c>
      <c r="G5" s="3" t="inlineStr">
        <is>
          <t>Feb-26</t>
        </is>
      </c>
      <c r="H5" s="3" t="inlineStr">
        <is>
          <t>Mar-26</t>
        </is>
      </c>
      <c r="I5" s="3" t="inlineStr">
        <is>
          <t>Apr-26</t>
        </is>
      </c>
      <c r="J5" s="3" t="inlineStr">
        <is>
          <t>May-26</t>
        </is>
      </c>
      <c r="K5" s="3" t="inlineStr">
        <is>
          <t>Jun-26</t>
        </is>
      </c>
      <c r="L5" s="3" t="inlineStr">
        <is>
          <t>Jul-26</t>
        </is>
      </c>
      <c r="M5" s="3" t="inlineStr">
        <is>
          <t>Aug-26</t>
        </is>
      </c>
      <c r="N5" s="3" t="inlineStr">
        <is>
          <t>T-12 Total</t>
        </is>
      </c>
      <c r="O5" s="3" t="inlineStr">
        <is>
          <t>Per Unit</t>
        </is>
      </c>
    </row>
    <row r="6">
      <c r="A6" t="inlineStr">
        <is>
          <t>Gross potential rent</t>
        </is>
      </c>
      <c r="B6" s="4" t="n">
        <v>434825</v>
      </c>
      <c r="C6" s="4" t="n">
        <v>435760</v>
      </c>
      <c r="D6" s="4" t="n">
        <v>438933</v>
      </c>
      <c r="E6" s="4" t="n">
        <v>434941</v>
      </c>
      <c r="F6" s="4" t="n">
        <v>435308</v>
      </c>
      <c r="G6" s="4" t="n">
        <v>436001</v>
      </c>
      <c r="H6" s="4" t="n">
        <v>432495</v>
      </c>
      <c r="I6" s="4" t="n">
        <v>435344</v>
      </c>
      <c r="J6" s="4" t="n">
        <v>436371</v>
      </c>
      <c r="K6" s="4" t="n">
        <v>437790</v>
      </c>
      <c r="L6" s="4" t="n">
        <v>431707</v>
      </c>
      <c r="M6" s="4" t="n">
        <v>433405</v>
      </c>
      <c r="N6" s="4">
        <f>SUM(B6:M6)</f>
        <v/>
      </c>
      <c r="O6" s="4">
        <f>N6/288</f>
        <v/>
      </c>
    </row>
    <row r="7">
      <c r="A7" t="inlineStr">
        <is>
          <t>Loss to lease</t>
        </is>
      </c>
      <c r="B7" s="4" t="n">
        <v>-19732</v>
      </c>
      <c r="C7" s="4" t="n">
        <v>-20905</v>
      </c>
      <c r="D7" s="4" t="n">
        <v>-20716</v>
      </c>
      <c r="E7" s="4" t="n">
        <v>-19652</v>
      </c>
      <c r="F7" s="4" t="n">
        <v>-21187</v>
      </c>
      <c r="G7" s="4" t="n">
        <v>-21158</v>
      </c>
      <c r="H7" s="4" t="n">
        <v>-20651</v>
      </c>
      <c r="I7" s="4" t="n">
        <v>-20589</v>
      </c>
      <c r="J7" s="4" t="n">
        <v>-19841</v>
      </c>
      <c r="K7" s="4" t="n">
        <v>-19608</v>
      </c>
      <c r="L7" s="4" t="n">
        <v>-20446</v>
      </c>
      <c r="M7" s="4" t="n">
        <v>-20315</v>
      </c>
      <c r="N7" s="4">
        <f>SUM(B7:M7)</f>
        <v/>
      </c>
      <c r="O7" s="4">
        <f>N7/288</f>
        <v/>
      </c>
    </row>
    <row r="8">
      <c r="A8" t="inlineStr">
        <is>
          <t>Vacancy</t>
        </is>
      </c>
      <c r="B8" s="4" t="n">
        <v>-22527</v>
      </c>
      <c r="C8" s="4" t="n">
        <v>-22912</v>
      </c>
      <c r="D8" s="4" t="n">
        <v>-21334</v>
      </c>
      <c r="E8" s="4" t="n">
        <v>-24566</v>
      </c>
      <c r="F8" s="4" t="n">
        <v>-24392</v>
      </c>
      <c r="G8" s="4" t="n">
        <v>-27386</v>
      </c>
      <c r="H8" s="4" t="n">
        <v>-24977</v>
      </c>
      <c r="I8" s="4" t="n">
        <v>-25880</v>
      </c>
      <c r="J8" s="4" t="n">
        <v>-24833</v>
      </c>
      <c r="K8" s="4" t="n">
        <v>-26045</v>
      </c>
      <c r="L8" s="4" t="n">
        <v>-24517</v>
      </c>
      <c r="M8" s="4" t="n">
        <v>-28651</v>
      </c>
      <c r="N8" s="4">
        <f>SUM(B8:M8)</f>
        <v/>
      </c>
      <c r="O8" s="4">
        <f>N8/288</f>
        <v/>
      </c>
    </row>
    <row r="9">
      <c r="A9" t="inlineStr">
        <is>
          <t>Concessions</t>
        </is>
      </c>
      <c r="B9" s="4" t="n">
        <v>-2487</v>
      </c>
      <c r="C9" s="4" t="n">
        <v>-2485</v>
      </c>
      <c r="D9" s="4" t="n">
        <v>-2356</v>
      </c>
      <c r="E9" s="4" t="n">
        <v>-2247</v>
      </c>
      <c r="F9" s="4" t="n">
        <v>-1921</v>
      </c>
      <c r="G9" s="4" t="n">
        <v>-1850</v>
      </c>
      <c r="H9" s="4" t="n">
        <v>-1899</v>
      </c>
      <c r="I9" s="4" t="n">
        <v>-1718</v>
      </c>
      <c r="J9" s="4" t="n">
        <v>-2295</v>
      </c>
      <c r="K9" s="4" t="n">
        <v>-1992</v>
      </c>
      <c r="L9" s="4" t="n">
        <v>-2362</v>
      </c>
      <c r="M9" s="4" t="n">
        <v>-1278</v>
      </c>
      <c r="N9" s="4">
        <f>SUM(B9:M9)</f>
        <v/>
      </c>
      <c r="O9" s="4">
        <f>N9/288</f>
        <v/>
      </c>
    </row>
    <row r="10">
      <c r="A10" t="inlineStr">
        <is>
          <t>Bad debt</t>
        </is>
      </c>
      <c r="B10" s="4" t="n">
        <v>-3824</v>
      </c>
      <c r="C10" s="4" t="n">
        <v>-3652</v>
      </c>
      <c r="D10" s="4" t="n">
        <v>-2334</v>
      </c>
      <c r="E10" s="4" t="n">
        <v>-2660</v>
      </c>
      <c r="F10" s="4" t="n">
        <v>-3750</v>
      </c>
      <c r="G10" s="4" t="n">
        <v>-3065</v>
      </c>
      <c r="H10" s="4" t="n">
        <v>-3859</v>
      </c>
      <c r="I10" s="4" t="n">
        <v>-2952</v>
      </c>
      <c r="J10" s="4" t="n">
        <v>-2447</v>
      </c>
      <c r="K10" s="4" t="n">
        <v>-3313</v>
      </c>
      <c r="L10" s="4" t="n">
        <v>-3545</v>
      </c>
      <c r="M10" s="4" t="n">
        <v>-1935</v>
      </c>
      <c r="N10" s="4">
        <f>SUM(B10:M10)</f>
        <v/>
      </c>
      <c r="O10" s="4">
        <f>N10/288</f>
        <v/>
      </c>
    </row>
    <row r="11">
      <c r="A11" t="inlineStr">
        <is>
          <t>Other income</t>
        </is>
      </c>
      <c r="B11" s="4" t="n">
        <v>31479</v>
      </c>
      <c r="C11" s="4" t="n">
        <v>32455</v>
      </c>
      <c r="D11" s="4" t="n">
        <v>34964</v>
      </c>
      <c r="E11" s="4" t="n">
        <v>34146</v>
      </c>
      <c r="F11" s="4" t="n">
        <v>31602</v>
      </c>
      <c r="G11" s="4" t="n">
        <v>32112</v>
      </c>
      <c r="H11" s="4" t="n">
        <v>31534</v>
      </c>
      <c r="I11" s="4" t="n">
        <v>31371</v>
      </c>
      <c r="J11" s="4" t="n">
        <v>34300</v>
      </c>
      <c r="K11" s="4" t="n">
        <v>31839</v>
      </c>
      <c r="L11" s="4" t="n">
        <v>33356</v>
      </c>
      <c r="M11" s="4" t="n">
        <v>38282</v>
      </c>
      <c r="N11" s="4">
        <f>SUM(B11:M11)</f>
        <v/>
      </c>
      <c r="O11" s="4">
        <f>N11/288</f>
        <v/>
      </c>
    </row>
    <row r="12">
      <c r="A12" s="5" t="inlineStr">
        <is>
          <t>Effective gross income</t>
        </is>
      </c>
      <c r="B12" s="6">
        <f>B6+B7+B8+B9+B10+B11</f>
        <v/>
      </c>
      <c r="C12" s="6">
        <f>C6+C7+C8+C9+C10+C11</f>
        <v/>
      </c>
      <c r="D12" s="6">
        <f>D6+D7+D8+D9+D10+D11</f>
        <v/>
      </c>
      <c r="E12" s="6">
        <f>E6+E7+E8+E9+E10+E11</f>
        <v/>
      </c>
      <c r="F12" s="6">
        <f>F6+F7+F8+F9+F10+F11</f>
        <v/>
      </c>
      <c r="G12" s="6">
        <f>G6+G7+G8+G9+G10+G11</f>
        <v/>
      </c>
      <c r="H12" s="6">
        <f>H6+H7+H8+H9+H10+H11</f>
        <v/>
      </c>
      <c r="I12" s="6">
        <f>I6+I7+I8+I9+I10+I11</f>
        <v/>
      </c>
      <c r="J12" s="6">
        <f>J6+J7+J8+J9+J10+J11</f>
        <v/>
      </c>
      <c r="K12" s="6">
        <f>K6+K7+K8+K9+K10+K11</f>
        <v/>
      </c>
      <c r="L12" s="6">
        <f>L6+L7+L8+L9+L10+L11</f>
        <v/>
      </c>
      <c r="M12" s="6">
        <f>M6+M7+M8+M9+M10+M11</f>
        <v/>
      </c>
      <c r="N12" s="6">
        <f>N6+N7+N8+N9+N10+N11</f>
        <v/>
      </c>
      <c r="O12" s="6">
        <f>N12/288</f>
        <v/>
      </c>
    </row>
    <row r="13">
      <c r="A13" t="inlineStr">
        <is>
          <t>Payroll</t>
        </is>
      </c>
      <c r="B13" s="4" t="n">
        <v>-29428</v>
      </c>
      <c r="C13" s="4" t="n">
        <v>-32109</v>
      </c>
      <c r="D13" s="4" t="n">
        <v>-29132</v>
      </c>
      <c r="E13" s="4" t="n">
        <v>-31672</v>
      </c>
      <c r="F13" s="4" t="n">
        <v>-29060</v>
      </c>
      <c r="G13" s="4" t="n">
        <v>-30567</v>
      </c>
      <c r="H13" s="4" t="n">
        <v>-29538</v>
      </c>
      <c r="I13" s="4" t="n">
        <v>-29820</v>
      </c>
      <c r="J13" s="4" t="n">
        <v>-33293</v>
      </c>
      <c r="K13" s="4" t="n">
        <v>-32463</v>
      </c>
      <c r="L13" s="4" t="n">
        <v>-29990</v>
      </c>
      <c r="M13" s="4" t="n">
        <v>-34448</v>
      </c>
      <c r="N13" s="4">
        <f>SUM(B13:M13)</f>
        <v/>
      </c>
      <c r="O13" s="4">
        <f>N13/288</f>
        <v/>
      </c>
    </row>
    <row r="14">
      <c r="A14" t="inlineStr">
        <is>
          <t>Repairs and maintenance</t>
        </is>
      </c>
      <c r="B14" s="4" t="n">
        <v>-13962</v>
      </c>
      <c r="C14" s="4" t="n">
        <v>-14392</v>
      </c>
      <c r="D14" s="4" t="n">
        <v>-15470</v>
      </c>
      <c r="E14" s="4" t="n">
        <v>-14972</v>
      </c>
      <c r="F14" s="4" t="n">
        <v>-13704</v>
      </c>
      <c r="G14" s="4" t="n">
        <v>-15786</v>
      </c>
      <c r="H14" s="4" t="n">
        <v>-13968</v>
      </c>
      <c r="I14" s="4" t="n">
        <v>-14074</v>
      </c>
      <c r="J14" s="4" t="n">
        <v>-15279</v>
      </c>
      <c r="K14" s="4" t="n">
        <v>-14239</v>
      </c>
      <c r="L14" s="4" t="n">
        <v>-14163</v>
      </c>
      <c r="M14" s="4" t="n">
        <v>-15671</v>
      </c>
      <c r="N14" s="4">
        <f>SUM(B14:M14)</f>
        <v/>
      </c>
      <c r="O14" s="4">
        <f>N14/288</f>
        <v/>
      </c>
    </row>
    <row r="15">
      <c r="A15" t="inlineStr">
        <is>
          <t>Turnover</t>
        </is>
      </c>
      <c r="B15" s="4" t="n">
        <v>-5158</v>
      </c>
      <c r="C15" s="4" t="n">
        <v>-5593</v>
      </c>
      <c r="D15" s="4" t="n">
        <v>-5293</v>
      </c>
      <c r="E15" s="4" t="n">
        <v>-5609</v>
      </c>
      <c r="F15" s="4" t="n">
        <v>-5407</v>
      </c>
      <c r="G15" s="4" t="n">
        <v>-5479</v>
      </c>
      <c r="H15" s="4" t="n">
        <v>-5926</v>
      </c>
      <c r="I15" s="4" t="n">
        <v>-5506</v>
      </c>
      <c r="J15" s="4" t="n">
        <v>-5586</v>
      </c>
      <c r="K15" s="4" t="n">
        <v>-5844</v>
      </c>
      <c r="L15" s="4" t="n">
        <v>-5240</v>
      </c>
      <c r="M15" s="4" t="n">
        <v>-5599</v>
      </c>
      <c r="N15" s="4">
        <f>SUM(B15:M15)</f>
        <v/>
      </c>
      <c r="O15" s="4">
        <f>N15/288</f>
        <v/>
      </c>
    </row>
    <row r="16">
      <c r="A16" t="inlineStr">
        <is>
          <t>Contract services</t>
        </is>
      </c>
      <c r="B16" s="4" t="n">
        <v>-7415</v>
      </c>
      <c r="C16" s="4" t="n">
        <v>-7314</v>
      </c>
      <c r="D16" s="4" t="n">
        <v>-6681</v>
      </c>
      <c r="E16" s="4" t="n">
        <v>-6615</v>
      </c>
      <c r="F16" s="4" t="n">
        <v>-7227</v>
      </c>
      <c r="G16" s="4" t="n">
        <v>-7450</v>
      </c>
      <c r="H16" s="4" t="n">
        <v>-6622</v>
      </c>
      <c r="I16" s="4" t="n">
        <v>-7461</v>
      </c>
      <c r="J16" s="4" t="n">
        <v>-7386</v>
      </c>
      <c r="K16" s="4" t="n">
        <v>-7075</v>
      </c>
      <c r="L16" s="4" t="n">
        <v>-6873</v>
      </c>
      <c r="M16" s="4" t="n">
        <v>-5401</v>
      </c>
      <c r="N16" s="4">
        <f>SUM(B16:M16)</f>
        <v/>
      </c>
      <c r="O16" s="4">
        <f>N16/288</f>
        <v/>
      </c>
    </row>
    <row r="17">
      <c r="A17" t="inlineStr">
        <is>
          <t>Marketing</t>
        </is>
      </c>
      <c r="B17" s="4" t="n">
        <v>-3668</v>
      </c>
      <c r="C17" s="4" t="n">
        <v>-4253</v>
      </c>
      <c r="D17" s="4" t="n">
        <v>-3794</v>
      </c>
      <c r="E17" s="4" t="n">
        <v>-4090</v>
      </c>
      <c r="F17" s="4" t="n">
        <v>-3806</v>
      </c>
      <c r="G17" s="4" t="n">
        <v>-4165</v>
      </c>
      <c r="H17" s="4" t="n">
        <v>-4021</v>
      </c>
      <c r="I17" s="4" t="n">
        <v>-3829</v>
      </c>
      <c r="J17" s="4" t="n">
        <v>-3754</v>
      </c>
      <c r="K17" s="4" t="n">
        <v>-4100</v>
      </c>
      <c r="L17" s="4" t="n">
        <v>-3687</v>
      </c>
      <c r="M17" s="4" t="n">
        <v>-4353</v>
      </c>
      <c r="N17" s="4">
        <f>SUM(B17:M17)</f>
        <v/>
      </c>
      <c r="O17" s="4">
        <f>N17/288</f>
        <v/>
      </c>
    </row>
    <row r="18">
      <c r="A18" t="inlineStr">
        <is>
          <t>Administrative</t>
        </is>
      </c>
      <c r="B18" s="4" t="n">
        <v>-5209</v>
      </c>
      <c r="C18" s="4" t="n">
        <v>-5451</v>
      </c>
      <c r="D18" s="4" t="n">
        <v>-5254</v>
      </c>
      <c r="E18" s="4" t="n">
        <v>-4979</v>
      </c>
      <c r="F18" s="4" t="n">
        <v>-5505</v>
      </c>
      <c r="G18" s="4" t="n">
        <v>-4916</v>
      </c>
      <c r="H18" s="4" t="n">
        <v>-4761</v>
      </c>
      <c r="I18" s="4" t="n">
        <v>-4969</v>
      </c>
      <c r="J18" s="4" t="n">
        <v>-5115</v>
      </c>
      <c r="K18" s="4" t="n">
        <v>-4797</v>
      </c>
      <c r="L18" s="4" t="n">
        <v>-4893</v>
      </c>
      <c r="M18" s="4" t="n">
        <v>-6071</v>
      </c>
      <c r="N18" s="4">
        <f>SUM(B18:M18)</f>
        <v/>
      </c>
      <c r="O18" s="4">
        <f>N18/288</f>
        <v/>
      </c>
    </row>
    <row r="19">
      <c r="A19" t="inlineStr">
        <is>
          <t>Utilities</t>
        </is>
      </c>
      <c r="B19" s="4" t="n">
        <v>-21364</v>
      </c>
      <c r="C19" s="4" t="n">
        <v>-19875</v>
      </c>
      <c r="D19" s="4" t="n">
        <v>-20654</v>
      </c>
      <c r="E19" s="4" t="n">
        <v>-22441</v>
      </c>
      <c r="F19" s="4" t="n">
        <v>-22744</v>
      </c>
      <c r="G19" s="4" t="n">
        <v>-21650</v>
      </c>
      <c r="H19" s="4" t="n">
        <v>-21766</v>
      </c>
      <c r="I19" s="4" t="n">
        <v>-21405</v>
      </c>
      <c r="J19" s="4" t="n">
        <v>-19905</v>
      </c>
      <c r="K19" s="4" t="n">
        <v>-19549</v>
      </c>
      <c r="L19" s="4" t="n">
        <v>-19491</v>
      </c>
      <c r="M19" s="4" t="n">
        <v>-22596</v>
      </c>
      <c r="N19" s="4">
        <f>SUM(B19:M19)</f>
        <v/>
      </c>
      <c r="O19" s="4">
        <f>N19/288</f>
        <v/>
      </c>
    </row>
    <row r="20">
      <c r="A20" t="inlineStr">
        <is>
          <t>Insurance</t>
        </is>
      </c>
      <c r="B20" s="4" t="n">
        <v>-17280</v>
      </c>
      <c r="C20" s="4" t="n">
        <v>-17280</v>
      </c>
      <c r="D20" s="4" t="n">
        <v>-17280</v>
      </c>
      <c r="E20" s="4" t="n">
        <v>-17280</v>
      </c>
      <c r="F20" s="4" t="n">
        <v>-17280</v>
      </c>
      <c r="G20" s="4" t="n">
        <v>-17280</v>
      </c>
      <c r="H20" s="4" t="n">
        <v>-17280</v>
      </c>
      <c r="I20" s="4" t="n">
        <v>-17280</v>
      </c>
      <c r="J20" s="4" t="n">
        <v>-17280</v>
      </c>
      <c r="K20" s="4" t="n">
        <v>-17280</v>
      </c>
      <c r="L20" s="4" t="n">
        <v>-17280</v>
      </c>
      <c r="M20" s="4" t="n">
        <v>-17280</v>
      </c>
      <c r="N20" s="4">
        <f>SUM(B20:M20)</f>
        <v/>
      </c>
      <c r="O20" s="4">
        <f>N20/288</f>
        <v/>
      </c>
    </row>
    <row r="21">
      <c r="A21" t="inlineStr">
        <is>
          <t>Real estate taxes</t>
        </is>
      </c>
      <c r="B21" s="4" t="n">
        <v>-50995</v>
      </c>
      <c r="C21" s="4" t="n">
        <v>-50995</v>
      </c>
      <c r="D21" s="4" t="n">
        <v>-50995</v>
      </c>
      <c r="E21" s="4" t="n">
        <v>-50995</v>
      </c>
      <c r="F21" s="4" t="n">
        <v>-50995</v>
      </c>
      <c r="G21" s="4" t="n">
        <v>-50995</v>
      </c>
      <c r="H21" s="4" t="n">
        <v>-50995</v>
      </c>
      <c r="I21" s="4" t="n">
        <v>-50995</v>
      </c>
      <c r="J21" s="4" t="n">
        <v>-50995</v>
      </c>
      <c r="K21" s="4" t="n">
        <v>-50995</v>
      </c>
      <c r="L21" s="4" t="n">
        <v>-50995</v>
      </c>
      <c r="M21" s="4" t="n">
        <v>-50995</v>
      </c>
      <c r="N21" s="4">
        <f>SUM(B21:M21)</f>
        <v/>
      </c>
      <c r="O21" s="4">
        <f>N21/288</f>
        <v/>
      </c>
    </row>
    <row r="22">
      <c r="A22" t="inlineStr">
        <is>
          <t>Management fee</t>
        </is>
      </c>
      <c r="B22" s="4">
        <f>-0.03*B12</f>
        <v/>
      </c>
      <c r="C22" s="4">
        <f>-0.03*C12</f>
        <v/>
      </c>
      <c r="D22" s="4">
        <f>-0.03*D12</f>
        <v/>
      </c>
      <c r="E22" s="4">
        <f>-0.03*E12</f>
        <v/>
      </c>
      <c r="F22" s="4">
        <f>-0.03*F12</f>
        <v/>
      </c>
      <c r="G22" s="4">
        <f>-0.03*G12</f>
        <v/>
      </c>
      <c r="H22" s="4">
        <f>-0.03*H12</f>
        <v/>
      </c>
      <c r="I22" s="4">
        <f>-0.03*I12</f>
        <v/>
      </c>
      <c r="J22" s="4">
        <f>-0.03*J12</f>
        <v/>
      </c>
      <c r="K22" s="4">
        <f>-0.03*K12</f>
        <v/>
      </c>
      <c r="L22" s="4">
        <f>-0.03*L12</f>
        <v/>
      </c>
      <c r="M22" s="4">
        <f>-0.03*M12</f>
        <v/>
      </c>
      <c r="N22" s="4">
        <f>-0.03*N12</f>
        <v/>
      </c>
      <c r="O22" s="4">
        <f>N22/288</f>
        <v/>
      </c>
    </row>
    <row r="23">
      <c r="A23" s="5" t="inlineStr">
        <is>
          <t>Total operating expenses</t>
        </is>
      </c>
      <c r="B23" s="6">
        <f>B13+B14+B15+B16+B17+B18+B19+B20+B21+B22</f>
        <v/>
      </c>
      <c r="C23" s="6">
        <f>C13+C14+C15+C16+C17+C18+C19+C20+C21+C22</f>
        <v/>
      </c>
      <c r="D23" s="6">
        <f>D13+D14+D15+D16+D17+D18+D19+D20+D21+D22</f>
        <v/>
      </c>
      <c r="E23" s="6">
        <f>E13+E14+E15+E16+E17+E18+E19+E20+E21+E22</f>
        <v/>
      </c>
      <c r="F23" s="6">
        <f>F13+F14+F15+F16+F17+F18+F19+F20+F21+F22</f>
        <v/>
      </c>
      <c r="G23" s="6">
        <f>G13+G14+G15+G16+G17+G18+G19+G20+G21+G22</f>
        <v/>
      </c>
      <c r="H23" s="6">
        <f>H13+H14+H15+H16+H17+H18+H19+H20+H21+H22</f>
        <v/>
      </c>
      <c r="I23" s="6">
        <f>I13+I14+I15+I16+I17+I18+I19+I20+I21+I22</f>
        <v/>
      </c>
      <c r="J23" s="6">
        <f>J13+J14+J15+J16+J17+J18+J19+J20+J21+J22</f>
        <v/>
      </c>
      <c r="K23" s="6">
        <f>K13+K14+K15+K16+K17+K18+K19+K20+K21+K22</f>
        <v/>
      </c>
      <c r="L23" s="6">
        <f>L13+L14+L15+L16+L17+L18+L19+L20+L21+L22</f>
        <v/>
      </c>
      <c r="M23" s="6">
        <f>M13+M14+M15+M16+M17+M18+M19+M20+M21+M22</f>
        <v/>
      </c>
      <c r="N23" s="6">
        <f>N13+N14+N15+N16+N17+N18+N19+N20+N21+N22</f>
        <v/>
      </c>
      <c r="O23" s="6">
        <f>N23/288</f>
        <v/>
      </c>
    </row>
    <row r="24">
      <c r="A24" s="5" t="inlineStr">
        <is>
          <t>Net operating income</t>
        </is>
      </c>
      <c r="B24" s="6">
        <f>B12+B23</f>
        <v/>
      </c>
      <c r="C24" s="6">
        <f>C12+C23</f>
        <v/>
      </c>
      <c r="D24" s="6">
        <f>D12+D23</f>
        <v/>
      </c>
      <c r="E24" s="6">
        <f>E12+E23</f>
        <v/>
      </c>
      <c r="F24" s="6">
        <f>F12+F23</f>
        <v/>
      </c>
      <c r="G24" s="6">
        <f>G12+G23</f>
        <v/>
      </c>
      <c r="H24" s="6">
        <f>H12+H23</f>
        <v/>
      </c>
      <c r="I24" s="6">
        <f>I12+I23</f>
        <v/>
      </c>
      <c r="J24" s="6">
        <f>J12+J23</f>
        <v/>
      </c>
      <c r="K24" s="6">
        <f>K12+K23</f>
        <v/>
      </c>
      <c r="L24" s="6">
        <f>L12+L23</f>
        <v/>
      </c>
      <c r="M24" s="6">
        <f>M12+M23</f>
        <v/>
      </c>
      <c r="N24" s="6">
        <f>N12+N23</f>
        <v/>
      </c>
      <c r="O24" s="6">
        <f>N24/288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2026-09-15T00:10:36Z</dcterms:created>
  <dcterms:modified xmlns:dcterms="http://purl.org/dc/terms/" xmlns:xsi="http://www.w3.org/2001/XMLSchema-instance" xsi:type="dcterms:W3CDTF">2026-09-15T00:10:36Z</dcterms:modified>
</cp:coreProperties>
</file>